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tudiant\Desktop\"/>
    </mc:Choice>
  </mc:AlternateContent>
  <xr:revisionPtr revIDLastSave="0" documentId="8_{4B44AEC2-1539-450D-8178-C91128A8704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00_Sommaire" sheetId="1" r:id="rId1"/>
    <sheet name="01_Hypotheses_BFR" sheetId="2" r:id="rId2"/>
    <sheet name="02_Budget_Tresorerie" sheetId="3" r:id="rId3"/>
    <sheet name="03_Indicateurs_BFR" sheetId="4" r:id="rId4"/>
    <sheet name="04_Scenario_Financement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3" l="1"/>
  <c r="N6" i="3" s="1"/>
  <c r="B15" i="5"/>
  <c r="C15" i="5" s="1"/>
  <c r="D15" i="5" s="1"/>
  <c r="E15" i="5" s="1"/>
  <c r="E13" i="5"/>
  <c r="B7" i="5"/>
  <c r="M14" i="5" s="1"/>
  <c r="M15" i="4"/>
  <c r="L15" i="4"/>
  <c r="D15" i="4"/>
  <c r="C15" i="4"/>
  <c r="B15" i="4"/>
  <c r="E14" i="4"/>
  <c r="B10" i="4"/>
  <c r="M7" i="4"/>
  <c r="N7" i="4" s="1"/>
  <c r="L7" i="4"/>
  <c r="K7" i="4"/>
  <c r="K15" i="4" s="1"/>
  <c r="J7" i="4"/>
  <c r="J15" i="4" s="1"/>
  <c r="I7" i="4"/>
  <c r="I15" i="4" s="1"/>
  <c r="H7" i="4"/>
  <c r="H15" i="4" s="1"/>
  <c r="G7" i="4"/>
  <c r="G15" i="4" s="1"/>
  <c r="F7" i="4"/>
  <c r="F15" i="4" s="1"/>
  <c r="E7" i="4"/>
  <c r="E8" i="4" s="1"/>
  <c r="D7" i="4"/>
  <c r="C7" i="4"/>
  <c r="B7" i="4"/>
  <c r="F6" i="4"/>
  <c r="F8" i="4" s="1"/>
  <c r="F9" i="4" s="1"/>
  <c r="E6" i="4"/>
  <c r="M5" i="4"/>
  <c r="M6" i="4" s="1"/>
  <c r="L5" i="4"/>
  <c r="L6" i="4" s="1"/>
  <c r="K5" i="4"/>
  <c r="K6" i="4" s="1"/>
  <c r="J5" i="4"/>
  <c r="J6" i="4" s="1"/>
  <c r="I5" i="4"/>
  <c r="I6" i="4" s="1"/>
  <c r="H5" i="4"/>
  <c r="H6" i="4" s="1"/>
  <c r="G5" i="4"/>
  <c r="G6" i="4" s="1"/>
  <c r="F5" i="4"/>
  <c r="E5" i="4"/>
  <c r="D5" i="4"/>
  <c r="D6" i="4" s="1"/>
  <c r="C5" i="4"/>
  <c r="C6" i="4" s="1"/>
  <c r="B5" i="4"/>
  <c r="N5" i="4" s="1"/>
  <c r="J13" i="3"/>
  <c r="J15" i="3" s="1"/>
  <c r="I13" i="3"/>
  <c r="I15" i="3" s="1"/>
  <c r="H13" i="3"/>
  <c r="H15" i="3" s="1"/>
  <c r="N12" i="3"/>
  <c r="N11" i="3"/>
  <c r="M10" i="3"/>
  <c r="M13" i="3" s="1"/>
  <c r="M15" i="3" s="1"/>
  <c r="L10" i="3"/>
  <c r="L13" i="3" s="1"/>
  <c r="L15" i="3" s="1"/>
  <c r="K10" i="3"/>
  <c r="K13" i="3" s="1"/>
  <c r="K15" i="3" s="1"/>
  <c r="J10" i="3"/>
  <c r="I10" i="3"/>
  <c r="H10" i="3"/>
  <c r="G10" i="3"/>
  <c r="F10" i="3"/>
  <c r="E10" i="3"/>
  <c r="D10" i="3"/>
  <c r="C10" i="3"/>
  <c r="B10" i="3"/>
  <c r="N10" i="3" s="1"/>
  <c r="N9" i="3"/>
  <c r="N8" i="3"/>
  <c r="N7" i="3"/>
  <c r="M6" i="3"/>
  <c r="L6" i="3"/>
  <c r="K6" i="3"/>
  <c r="J6" i="3"/>
  <c r="I6" i="3"/>
  <c r="H6" i="3"/>
  <c r="G6" i="3"/>
  <c r="G13" i="3" s="1"/>
  <c r="F6" i="3"/>
  <c r="F13" i="3" s="1"/>
  <c r="E6" i="3"/>
  <c r="E13" i="3" s="1"/>
  <c r="D6" i="3"/>
  <c r="D13" i="3" s="1"/>
  <c r="C6" i="3"/>
  <c r="C13" i="3" s="1"/>
  <c r="C15" i="3" s="1"/>
  <c r="M5" i="3"/>
  <c r="L5" i="3"/>
  <c r="K5" i="3"/>
  <c r="J5" i="3"/>
  <c r="I5" i="3"/>
  <c r="H5" i="3"/>
  <c r="G5" i="3"/>
  <c r="G15" i="3" s="1"/>
  <c r="F5" i="3"/>
  <c r="F15" i="3" s="1"/>
  <c r="E5" i="3"/>
  <c r="D5" i="3"/>
  <c r="D15" i="3" s="1"/>
  <c r="C5" i="3"/>
  <c r="B5" i="3"/>
  <c r="N5" i="3" s="1"/>
  <c r="E15" i="3" l="1"/>
  <c r="J14" i="4"/>
  <c r="J8" i="4"/>
  <c r="K14" i="4"/>
  <c r="K8" i="4"/>
  <c r="K9" i="4" s="1"/>
  <c r="L14" i="4"/>
  <c r="L8" i="4"/>
  <c r="L9" i="4" s="1"/>
  <c r="C8" i="4"/>
  <c r="C14" i="4"/>
  <c r="D14" i="4"/>
  <c r="D8" i="4"/>
  <c r="D9" i="4" s="1"/>
  <c r="G14" i="4"/>
  <c r="G8" i="4"/>
  <c r="G9" i="4" s="1"/>
  <c r="H14" i="4"/>
  <c r="H8" i="4"/>
  <c r="H9" i="4" s="1"/>
  <c r="I8" i="4"/>
  <c r="I9" i="4" s="1"/>
  <c r="I14" i="4"/>
  <c r="M14" i="4"/>
  <c r="M8" i="4"/>
  <c r="N6" i="4"/>
  <c r="F15" i="5"/>
  <c r="F14" i="4"/>
  <c r="G14" i="5"/>
  <c r="H14" i="5"/>
  <c r="B6" i="4"/>
  <c r="I14" i="5"/>
  <c r="J14" i="5"/>
  <c r="E15" i="4"/>
  <c r="N15" i="4" s="1"/>
  <c r="F14" i="5"/>
  <c r="B13" i="3"/>
  <c r="K14" i="5"/>
  <c r="L14" i="5"/>
  <c r="G15" i="5" l="1"/>
  <c r="H15" i="5" s="1"/>
  <c r="I15" i="5" s="1"/>
  <c r="J15" i="5" s="1"/>
  <c r="K15" i="5" s="1"/>
  <c r="L15" i="5" s="1"/>
  <c r="M15" i="5" s="1"/>
  <c r="N13" i="3"/>
  <c r="B15" i="3"/>
  <c r="M9" i="4"/>
  <c r="N8" i="4"/>
  <c r="J9" i="4"/>
  <c r="B14" i="4"/>
  <c r="N14" i="4" s="1"/>
  <c r="B8" i="4"/>
  <c r="B9" i="4" s="1"/>
  <c r="E9" i="4"/>
  <c r="N9" i="4" l="1"/>
  <c r="C9" i="4"/>
  <c r="B16" i="3"/>
  <c r="N15" i="3"/>
  <c r="B12" i="5" l="1"/>
  <c r="B16" i="5" s="1"/>
  <c r="C14" i="3"/>
  <c r="C16" i="3" s="1"/>
  <c r="D14" i="3" l="1"/>
  <c r="D16" i="3" s="1"/>
  <c r="C12" i="5"/>
  <c r="C16" i="5" s="1"/>
  <c r="E14" i="3" l="1"/>
  <c r="E16" i="3" s="1"/>
  <c r="D12" i="5"/>
  <c r="D16" i="5" s="1"/>
  <c r="E12" i="5" l="1"/>
  <c r="E16" i="5" s="1"/>
  <c r="F14" i="3"/>
  <c r="F16" i="3" s="1"/>
  <c r="G14" i="3" l="1"/>
  <c r="G16" i="3" s="1"/>
  <c r="F12" i="5"/>
  <c r="F16" i="5" s="1"/>
  <c r="H14" i="3" l="1"/>
  <c r="H16" i="3" s="1"/>
  <c r="G12" i="5"/>
  <c r="G16" i="5" s="1"/>
  <c r="I14" i="3" l="1"/>
  <c r="I16" i="3" s="1"/>
  <c r="H12" i="5"/>
  <c r="H16" i="5" s="1"/>
  <c r="I12" i="5" l="1"/>
  <c r="I16" i="5" s="1"/>
  <c r="J14" i="3"/>
  <c r="J16" i="3" s="1"/>
  <c r="J12" i="5" l="1"/>
  <c r="J16" i="5" s="1"/>
  <c r="K14" i="3"/>
  <c r="K16" i="3" s="1"/>
  <c r="K12" i="5" l="1"/>
  <c r="K16" i="5" s="1"/>
  <c r="L14" i="3"/>
  <c r="L16" i="3" s="1"/>
  <c r="M14" i="3" l="1"/>
  <c r="M16" i="3" s="1"/>
  <c r="M12" i="5" s="1"/>
  <c r="M16" i="5" s="1"/>
  <c r="L12" i="5"/>
  <c r="L16" i="5" s="1"/>
</calcChain>
</file>

<file path=xl/sharedStrings.xml><?xml version="1.0" encoding="utf-8"?>
<sst xmlns="http://schemas.openxmlformats.org/spreadsheetml/2006/main" count="149" uniqueCount="111">
  <si>
    <t>DOSSIER 2 - PLAN DE TRÉSORERIE PRÉVISIONNEL ET GESTION DU BFR</t>
  </si>
  <si>
    <t>Onglet</t>
  </si>
  <si>
    <t>Objet de la modélisation</t>
  </si>
  <si>
    <t>Méthodes &amp; Outils mobilisés</t>
  </si>
  <si>
    <t>Enseignement clé / Décision</t>
  </si>
  <si>
    <t>01_Hypotheses_BFR</t>
  </si>
  <si>
    <t>Cadre des flux &amp; Délais de paiement</t>
  </si>
  <si>
    <t>Règles DSO (comptant, 30j, 60j), DPO (30j), TVA 20%, acomptes IS</t>
  </si>
  <si>
    <t>Mise en place des leviers d'optimisation du fonds de roulement et du BFR.</t>
  </si>
  <si>
    <t>02_Budget_Tresorerie</t>
  </si>
  <si>
    <t>Budget de trésorerie mensuel sur 12 mois</t>
  </si>
  <si>
    <t>Flux d'exploitation nets, trésorerie glissante, identification des impasses</t>
  </si>
  <si>
    <t>Identification de l'impasse d'avril à juillet (-40 k€) et plan de refinancement LT.</t>
  </si>
  <si>
    <t>PARAMÈTRES D'EXPLOITATION &amp; RÈGLES DU BFR</t>
  </si>
  <si>
    <t>1. Hypothèses retenues pour la modélisation financière</t>
  </si>
  <si>
    <t>Paramètre de gestion</t>
  </si>
  <si>
    <t>Valeur / Modalité</t>
  </si>
  <si>
    <t>Impact structurel sur le BFR &amp; la liquidité</t>
  </si>
  <si>
    <t>Taux normal de TVA</t>
  </si>
  <si>
    <t>20,0 %</t>
  </si>
  <si>
    <t>Applicable aux ventes, achats consommés et charges externes déductibles.</t>
  </si>
  <si>
    <t>Règlement clients (Ventes TTC)</t>
  </si>
  <si>
    <t>20 % comptant, 50 % à 30 j, 30 % à 60 j</t>
  </si>
  <si>
    <t>Allongement du DSO : 30 % du CA TTC rentre à 2 mois d'écart.</t>
  </si>
  <si>
    <t>Règlement fournisseurs (Achats TTC)</t>
  </si>
  <si>
    <t>100 % à 30 jours (M+1)</t>
  </si>
  <si>
    <t>DPO standard à 30 j : les règlements devancent les grosses créances clients.</t>
  </si>
  <si>
    <t>Achats matières / marchandises HT</t>
  </si>
  <si>
    <t>50,0 % du CA HT mensuel</t>
  </si>
  <si>
    <t>Approvisionnements variables indexés sur le plan de vente.</t>
  </si>
  <si>
    <t>Masse salariale nette</t>
  </si>
  <si>
    <t>20,0 k€ / mois (payée mois M)</t>
  </si>
  <si>
    <t>Flux de décaissement fixe incompressible décaissé en fin de mois.</t>
  </si>
  <si>
    <t>Cotisations sociales (URSSAF/Retraite)</t>
  </si>
  <si>
    <t>10,0 k€ / mois (payées à M+1)</t>
  </si>
  <si>
    <t>Règlement décalé des charges sociales patronales et salariales.</t>
  </si>
  <si>
    <t>Autres charges externes TTC</t>
  </si>
  <si>
    <t>8,0 k€ / mois (payées mois M)</t>
  </si>
  <si>
    <t>Frais généraux fixes décaissés comptant (loyer, assurances, entretien).</t>
  </si>
  <si>
    <t>Acomptes Impôt sur les Sociétés (IS)</t>
  </si>
  <si>
    <t>5,0 k€ par trimestre</t>
  </si>
  <si>
    <t>Échéances fiscales trimestrielles en Mars, Juin, Septembre et Décembre.</t>
  </si>
  <si>
    <t>Investissement matériel</t>
  </si>
  <si>
    <t>50,0 k€ TTC en Avril (comptant)</t>
  </si>
  <si>
    <t>Choc de trésorerie ponctuel financé par erreur sur le cash d'exploitation.</t>
  </si>
  <si>
    <t>Trésorerie de départ au 01/01</t>
  </si>
  <si>
    <t>+25,0 k€</t>
  </si>
  <si>
    <t>Encaisse initiale disponible au bilan d'ouverture.</t>
  </si>
  <si>
    <t>CA HT Novembre N-1 (hypothèse d'amorçage)</t>
  </si>
  <si>
    <t>Base de calcul de la tranche à 60 jours des encaissements de janvier (modèle glissant : le premier trimestre dépend des ventes de l'exercice précédent).</t>
  </si>
  <si>
    <t>CA HT Décembre N-1 (hypothèse d'amorçage)</t>
  </si>
  <si>
    <t>Base de calcul des encaissements de janvier/février, du décaissement fournisseurs de janvier et de la TVA nette décaissée en janvier.</t>
  </si>
  <si>
    <t>PLAN DE TRÉSORERIE MENSUEL GLISSANT SUR 12 MOIS (en k€)</t>
  </si>
  <si>
    <t>Poste de flux (k€)</t>
  </si>
  <si>
    <t>Jan</t>
  </si>
  <si>
    <t>Fév</t>
  </si>
  <si>
    <t>Mar</t>
  </si>
  <si>
    <t>Avr</t>
  </si>
  <si>
    <t>Mai</t>
  </si>
  <si>
    <t>Juin</t>
  </si>
  <si>
    <t>Juil</t>
  </si>
  <si>
    <t>Août</t>
  </si>
  <si>
    <t>Sep</t>
  </si>
  <si>
    <t>Oct</t>
  </si>
  <si>
    <t>Nov</t>
  </si>
  <si>
    <t>Déc</t>
  </si>
  <si>
    <t>Total An</t>
  </si>
  <si>
    <t>Chiffre d'affaires HT prévisionnel</t>
  </si>
  <si>
    <t>TOTAL ENCAISSEMENTS TTC (Clients)</t>
  </si>
  <si>
    <t>Achats réglés aux fournisseurs (30 j)</t>
  </si>
  <si>
    <t>Salaires nets (payés mois M)</t>
  </si>
  <si>
    <t>Charges sociales URSSAF / Retraite (M+1)</t>
  </si>
  <si>
    <t>TVA nette décaissée (le 20 à M+1)</t>
  </si>
  <si>
    <t>Acomptes IS trimestriels</t>
  </si>
  <si>
    <t>Investissement matériel comptant (Avril)</t>
  </si>
  <si>
    <t>TOTAL DÉCAISSEMENTS TTC</t>
  </si>
  <si>
    <t>TRÉSORERIE DE DÉBUT DE MOIS</t>
  </si>
  <si>
    <t>-</t>
  </si>
  <si>
    <t>FLUX NET DU MOIS (Encais - Décais)</t>
  </si>
  <si>
    <t>TRÉSORERIE DE FIN DE MOIS</t>
  </si>
  <si>
    <t>DOSSIER 2 (SUITE) - PILOTAGE DU BFR : CRÉANCES, DETTES, DSO, DPO</t>
  </si>
  <si>
    <t>1. Suivi mensuel du Besoin en Fonds de Roulement d'exploitation</t>
  </si>
  <si>
    <t>Indicateur (k€ sauf jours)</t>
  </si>
  <si>
    <t>Moy./Fin d'ex.</t>
  </si>
  <si>
    <t>Chiffre d'affaires TTC du mois</t>
  </si>
  <si>
    <t>Créances clients (fin de mois)</t>
  </si>
  <si>
    <t>Dettes fournisseurs (fin de mois)</t>
  </si>
  <si>
    <t>BFR d'exploitation (Créances - Dettes)</t>
  </si>
  <si>
    <t>Variation de BFR (besoin de financement complémentaire)</t>
  </si>
  <si>
    <t>Repère : BFR au 31/12 N-1 (calculé à partir des hypothèses d'amorçage)</t>
  </si>
  <si>
    <t>2. Délais de rotation (DSO / DPO)</t>
  </si>
  <si>
    <t>Indicateur (jours)</t>
  </si>
  <si>
    <t>DSO - Délai de paiement clients (jours, base 30)</t>
  </si>
  <si>
    <t>DPO - Délai de règlement fournisseurs (jours, base 30)</t>
  </si>
  <si>
    <t>Note de lecture : le DSO théorique pondéré par les hypothèses (20 % à 0 j, 50 % à 30 j, 30 % à 60 j) est de 33 jours. Le DSO calculé ici en stock/flux fin de mois s'en écarte légèrement en période de forte croissance du CA, ce qui est normal et doit être commenté comme tel dans le portfolio.</t>
  </si>
  <si>
    <t>DOSSIER 2 (SUITE) - SCÉNARIO DE FINANCEMENT CORRIGÉ (EMPRUNT MOYEN TERME SUR L'INVESTISSEMENT)</t>
  </si>
  <si>
    <t>1. Hypothèses de financement</t>
  </si>
  <si>
    <t>Montant emprunté (k€)</t>
  </si>
  <si>
    <t>Taux d'intérêt annuel</t>
  </si>
  <si>
    <t>Durée de l'emprunt (mois)</t>
  </si>
  <si>
    <t>Mensualité (capital + intérêts, k€)</t>
  </si>
  <si>
    <t>Premier remboursement</t>
  </si>
  <si>
    <t>Mai (mois suivant le décaissement de l'équipement en avril)</t>
  </si>
  <si>
    <t>2. Comparatif de trésorerie de fin de mois : baseline vs scénario financement</t>
  </si>
  <si>
    <t>Poste (k€)</t>
  </si>
  <si>
    <t>Trésorerie fin de mois - Situation actuelle (baseline)</t>
  </si>
  <si>
    <t>Emprunt bancaire MT mobilisé</t>
  </si>
  <si>
    <t>Remboursement emprunt (capital + intérêts)</t>
  </si>
  <si>
    <t>Cumul de l'ajustement de financement</t>
  </si>
  <si>
    <t>Trésorerie fin de mois - Scénario financement corrigé</t>
  </si>
  <si>
    <t>Note : La mise en place de l’emprunt bancaire permet de résorber intégralement l’impasse de trésorerie constatée en avril, en portant le solde à +10,0 k€. Les échéances mensuelles de remboursement sont ensuite absorbées par les flux de trésorerie générés par l’activité, sans entraîner de retour à une situation déficitaire. Cette évolution témoigne de l’efficacité du financement à moyen terme dans la sécurisation de la liquidité, grâce à la marge de sécurité constituée dès le mois de mai.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</si>
</sst>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0.0%"/>
  </numFmts>
  <fonts count="9" x14ac:knownFonts="1">
    <font>
      <sz val="11"/>
      <color theme="1"/>
      <name val="Calibri"/>
      <family val="2"/>
      <charset val="1"/>
    </font>
    <font>
      <b/>
      <sz val="13"/>
      <color rgb="FF1F4E78"/>
      <name val="Calibri"/>
      <charset val="1"/>
    </font>
    <font>
      <b/>
      <sz val="10"/>
      <color rgb="FFFFFFFF"/>
      <name val="Calibri"/>
      <charset val="1"/>
    </font>
    <font>
      <b/>
      <sz val="10"/>
      <color rgb="FF1A1A1A"/>
      <name val="Calibri"/>
      <charset val="1"/>
    </font>
    <font>
      <sz val="10"/>
      <color rgb="FF262626"/>
      <name val="Calibri"/>
      <charset val="1"/>
    </font>
    <font>
      <b/>
      <sz val="11"/>
      <color rgb="FF1F4E78"/>
      <name val="Calibri"/>
      <charset val="1"/>
    </font>
    <font>
      <sz val="10"/>
      <color rgb="FF0000FF"/>
      <name val="Calibri"/>
      <charset val="1"/>
    </font>
    <font>
      <b/>
      <sz val="10"/>
      <color rgb="FFC00000"/>
      <name val="Calibri"/>
      <charset val="1"/>
    </font>
    <font>
      <i/>
      <sz val="9"/>
      <color rgb="FF595959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FAFC"/>
        <bgColor rgb="FFFFFFFF"/>
      </patternFill>
    </fill>
    <fill>
      <patternFill patternType="solid">
        <fgColor rgb="FFD9E1F2"/>
        <bgColor rgb="FFD9D9D9"/>
      </patternFill>
    </fill>
    <fill>
      <patternFill patternType="solid">
        <fgColor rgb="FFFCE4D6"/>
        <bgColor rgb="FFD9D9D9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1F4E78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8" fillId="0" borderId="0" xfId="0" applyFont="1" applyAlignment="1">
      <alignment vertical="top" wrapText="1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5" fillId="0" borderId="0" xfId="0" applyFont="1"/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3" fillId="0" borderId="0" xfId="0" applyFont="1"/>
    <xf numFmtId="164" fontId="6" fillId="0" borderId="0" xfId="0" applyNumberFormat="1" applyFont="1"/>
    <xf numFmtId="0" fontId="4" fillId="0" borderId="0" xfId="0" applyFont="1"/>
    <xf numFmtId="164" fontId="6" fillId="0" borderId="2" xfId="0" applyNumberFormat="1" applyFont="1" applyBorder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0" fontId="3" fillId="4" borderId="3" xfId="0" applyFont="1" applyFill="1" applyBorder="1" applyAlignment="1">
      <alignment horizontal="left" vertical="center"/>
    </xf>
    <xf numFmtId="164" fontId="3" fillId="4" borderId="3" xfId="0" applyNumberFormat="1" applyFont="1" applyFill="1" applyBorder="1" applyAlignment="1">
      <alignment horizontal="right" vertical="center"/>
    </xf>
    <xf numFmtId="164" fontId="3" fillId="0" borderId="2" xfId="0" applyNumberFormat="1" applyFont="1" applyBorder="1" applyAlignment="1">
      <alignment horizontal="right" vertical="center"/>
    </xf>
    <xf numFmtId="164" fontId="7" fillId="5" borderId="2" xfId="0" applyNumberFormat="1" applyFont="1" applyFill="1" applyBorder="1" applyAlignment="1">
      <alignment horizontal="right" vertical="center"/>
    </xf>
    <xf numFmtId="164" fontId="7" fillId="5" borderId="3" xfId="0" applyNumberFormat="1" applyFont="1" applyFill="1" applyBorder="1" applyAlignment="1">
      <alignment horizontal="right" vertical="center"/>
    </xf>
    <xf numFmtId="0" fontId="3" fillId="4" borderId="3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164" fontId="0" fillId="0" borderId="0" xfId="0" applyNumberFormat="1"/>
    <xf numFmtId="0" fontId="3" fillId="4" borderId="0" xfId="0" applyFont="1" applyFill="1"/>
    <xf numFmtId="164" fontId="3" fillId="4" borderId="0" xfId="0" applyNumberFormat="1" applyFont="1" applyFill="1"/>
    <xf numFmtId="165" fontId="0" fillId="0" borderId="0" xfId="0" applyNumberFormat="1"/>
    <xf numFmtId="166" fontId="6" fillId="0" borderId="0" xfId="0" applyNumberFormat="1" applyFont="1"/>
    <xf numFmtId="1" fontId="6" fillId="0" borderId="0" xfId="0" applyNumberFormat="1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8FAF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1A1A1A"/>
      <rgbColor rgb="FFC0392B"/>
      <rgbColor rgb="FF993366"/>
      <rgbColor rgb="FF1F4E78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Trésorerie de fin de mois : baseline vs scénario financement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'04_Scenario_Financement'!$A$12</c:f>
              <c:strCache>
                <c:ptCount val="1"/>
                <c:pt idx="0">
                  <c:v>Trésorerie fin de mois - Situation actuelle (baseline)</c:v>
                </c:pt>
              </c:strCache>
            </c:strRef>
          </c:tx>
          <c:spPr>
            <a:ln w="21960">
              <a:solidFill>
                <a:srgbClr val="1F4E78"/>
              </a:solidFill>
              <a:round/>
            </a:ln>
          </c:spPr>
          <c:marker>
            <c:symbol val="circle"/>
            <c:size val="6"/>
            <c:spPr>
              <a:solidFill>
                <a:srgbClr val="1F4E7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'04_Scenario_Financement'!$B$11:$M$11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'04_Scenario_Financement'!$B$12:$M$12</c:f>
              <c:numCache>
                <c:formatCode>#\ ##0.0</c:formatCode>
                <c:ptCount val="12"/>
                <c:pt idx="0">
                  <c:v>21.433333333333323</c:v>
                </c:pt>
                <c:pt idx="1">
                  <c:v>17.766666666666652</c:v>
                </c:pt>
                <c:pt idx="2">
                  <c:v>9.1999999999999744</c:v>
                </c:pt>
                <c:pt idx="3">
                  <c:v>-39.966666666666711</c:v>
                </c:pt>
                <c:pt idx="4">
                  <c:v>-32.233333333333377</c:v>
                </c:pt>
                <c:pt idx="5">
                  <c:v>-23.70000000000006</c:v>
                </c:pt>
                <c:pt idx="6">
                  <c:v>-5.1666666666667425</c:v>
                </c:pt>
                <c:pt idx="7">
                  <c:v>9.0666666666665918</c:v>
                </c:pt>
                <c:pt idx="8">
                  <c:v>23.599999999999909</c:v>
                </c:pt>
                <c:pt idx="9">
                  <c:v>31.433333333333238</c:v>
                </c:pt>
                <c:pt idx="10">
                  <c:v>44.866666666666561</c:v>
                </c:pt>
                <c:pt idx="11">
                  <c:v>53.999999999999886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A9-415E-831D-876D952B0EC2}"/>
            </c:ext>
          </c:extLst>
        </c:ser>
        <c:ser>
          <c:idx val="1"/>
          <c:order val="1"/>
          <c:tx>
            <c:strRef>
              <c:f>'04_Scenario_Financement'!$A$16</c:f>
              <c:strCache>
                <c:ptCount val="1"/>
                <c:pt idx="0">
                  <c:v>Trésorerie fin de mois - Scénario financement corrigé</c:v>
                </c:pt>
              </c:strCache>
            </c:strRef>
          </c:tx>
          <c:spPr>
            <a:ln w="21960">
              <a:solidFill>
                <a:srgbClr val="C0392B"/>
              </a:solidFill>
              <a:round/>
            </a:ln>
          </c:spPr>
          <c:marker>
            <c:symbol val="circle"/>
            <c:size val="6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'04_Scenario_Financement'!$B$11:$M$11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'04_Scenario_Financement'!$B$16:$M$16</c:f>
              <c:numCache>
                <c:formatCode>#\ ##0.0</c:formatCode>
                <c:ptCount val="12"/>
                <c:pt idx="0">
                  <c:v>21.433333333333323</c:v>
                </c:pt>
                <c:pt idx="1">
                  <c:v>17.766666666666652</c:v>
                </c:pt>
                <c:pt idx="2">
                  <c:v>9.1999999999999744</c:v>
                </c:pt>
                <c:pt idx="3">
                  <c:v>10.033333333333289</c:v>
                </c:pt>
                <c:pt idx="4">
                  <c:v>16.637713934582123</c:v>
                </c:pt>
                <c:pt idx="5">
                  <c:v>24.042094535830941</c:v>
                </c:pt>
                <c:pt idx="6">
                  <c:v>41.446475137079759</c:v>
                </c:pt>
                <c:pt idx="7">
                  <c:v>54.550855738328593</c:v>
                </c:pt>
                <c:pt idx="8">
                  <c:v>67.955236339577411</c:v>
                </c:pt>
                <c:pt idx="9">
                  <c:v>74.65961694082624</c:v>
                </c:pt>
                <c:pt idx="10">
                  <c:v>86.963997542075063</c:v>
                </c:pt>
                <c:pt idx="11">
                  <c:v>94.968378143323889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A9-415E-831D-876D952B0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419308"/>
        <c:axId val="15393421"/>
      </c:lineChart>
      <c:catAx>
        <c:axId val="34193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Mois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5393421"/>
        <c:crosses val="autoZero"/>
        <c:auto val="1"/>
        <c:lblAlgn val="ctr"/>
        <c:lblOffset val="100"/>
        <c:noMultiLvlLbl val="0"/>
      </c:catAx>
      <c:valAx>
        <c:axId val="1539342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k€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34193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6</xdr:col>
      <xdr:colOff>432720</xdr:colOff>
      <xdr:row>37</xdr:row>
      <xdr:rowOff>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Normal="100" workbookViewId="0">
      <selection activeCell="C13" sqref="C13"/>
    </sheetView>
  </sheetViews>
  <sheetFormatPr baseColWidth="10" defaultColWidth="8.7109375" defaultRowHeight="15" x14ac:dyDescent="0.25"/>
  <cols>
    <col min="1" max="1" width="24" customWidth="1"/>
    <col min="2" max="3" width="38" customWidth="1"/>
    <col min="4" max="4" width="50" customWidth="1"/>
  </cols>
  <sheetData>
    <row r="1" spans="1:4" ht="24.75" customHeight="1" x14ac:dyDescent="0.3">
      <c r="A1" s="2" t="s">
        <v>0</v>
      </c>
    </row>
    <row r="3" spans="1:4" ht="27.75" customHeight="1" x14ac:dyDescent="0.25">
      <c r="A3" s="3" t="s">
        <v>1</v>
      </c>
      <c r="B3" s="3" t="s">
        <v>2</v>
      </c>
      <c r="C3" s="3" t="s">
        <v>3</v>
      </c>
      <c r="D3" s="3" t="s">
        <v>4</v>
      </c>
    </row>
    <row r="4" spans="1:4" ht="31.5" customHeight="1" x14ac:dyDescent="0.25">
      <c r="A4" s="4" t="s">
        <v>5</v>
      </c>
      <c r="B4" s="5" t="s">
        <v>6</v>
      </c>
      <c r="C4" s="5" t="s">
        <v>7</v>
      </c>
      <c r="D4" s="5" t="s">
        <v>8</v>
      </c>
    </row>
    <row r="5" spans="1:4" ht="31.5" customHeight="1" x14ac:dyDescent="0.25">
      <c r="A5" s="6" t="s">
        <v>9</v>
      </c>
      <c r="B5" s="7" t="s">
        <v>10</v>
      </c>
      <c r="C5" s="7" t="s">
        <v>11</v>
      </c>
      <c r="D5" s="7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topLeftCell="A6" zoomScaleNormal="100" workbookViewId="0">
      <selection activeCell="B6" sqref="B6"/>
    </sheetView>
  </sheetViews>
  <sheetFormatPr baseColWidth="10" defaultColWidth="8.7109375" defaultRowHeight="15" x14ac:dyDescent="0.25"/>
  <cols>
    <col min="1" max="2" width="38" customWidth="1"/>
    <col min="3" max="3" width="62" customWidth="1"/>
  </cols>
  <sheetData>
    <row r="1" spans="1:3" ht="24.75" customHeight="1" x14ac:dyDescent="0.3">
      <c r="A1" s="2" t="s">
        <v>13</v>
      </c>
    </row>
    <row r="3" spans="1:3" ht="15" customHeight="1" x14ac:dyDescent="0.25">
      <c r="A3" s="8" t="s">
        <v>14</v>
      </c>
    </row>
    <row r="4" spans="1:3" ht="24.75" customHeight="1" x14ac:dyDescent="0.25">
      <c r="A4" s="3" t="s">
        <v>15</v>
      </c>
      <c r="B4" s="3" t="s">
        <v>16</v>
      </c>
      <c r="C4" s="3" t="s">
        <v>17</v>
      </c>
    </row>
    <row r="5" spans="1:3" ht="24" customHeight="1" x14ac:dyDescent="0.25">
      <c r="A5" s="9" t="s">
        <v>18</v>
      </c>
      <c r="B5" s="10" t="s">
        <v>19</v>
      </c>
      <c r="C5" s="11" t="s">
        <v>20</v>
      </c>
    </row>
    <row r="6" spans="1:3" ht="24" customHeight="1" x14ac:dyDescent="0.25">
      <c r="A6" s="12" t="s">
        <v>21</v>
      </c>
      <c r="B6" s="13" t="s">
        <v>22</v>
      </c>
      <c r="C6" s="14" t="s">
        <v>23</v>
      </c>
    </row>
    <row r="7" spans="1:3" ht="24" customHeight="1" x14ac:dyDescent="0.25">
      <c r="A7" s="9" t="s">
        <v>24</v>
      </c>
      <c r="B7" s="10" t="s">
        <v>25</v>
      </c>
      <c r="C7" s="11" t="s">
        <v>26</v>
      </c>
    </row>
    <row r="8" spans="1:3" ht="24" customHeight="1" x14ac:dyDescent="0.25">
      <c r="A8" s="12" t="s">
        <v>27</v>
      </c>
      <c r="B8" s="13" t="s">
        <v>28</v>
      </c>
      <c r="C8" s="14" t="s">
        <v>29</v>
      </c>
    </row>
    <row r="9" spans="1:3" ht="24" customHeight="1" x14ac:dyDescent="0.25">
      <c r="A9" s="9" t="s">
        <v>30</v>
      </c>
      <c r="B9" s="10" t="s">
        <v>31</v>
      </c>
      <c r="C9" s="11" t="s">
        <v>32</v>
      </c>
    </row>
    <row r="10" spans="1:3" ht="24" customHeight="1" x14ac:dyDescent="0.25">
      <c r="A10" s="12" t="s">
        <v>33</v>
      </c>
      <c r="B10" s="13" t="s">
        <v>34</v>
      </c>
      <c r="C10" s="14" t="s">
        <v>35</v>
      </c>
    </row>
    <row r="11" spans="1:3" ht="24" customHeight="1" x14ac:dyDescent="0.25">
      <c r="A11" s="9" t="s">
        <v>36</v>
      </c>
      <c r="B11" s="10" t="s">
        <v>37</v>
      </c>
      <c r="C11" s="11" t="s">
        <v>38</v>
      </c>
    </row>
    <row r="12" spans="1:3" ht="24" customHeight="1" x14ac:dyDescent="0.25">
      <c r="A12" s="12" t="s">
        <v>39</v>
      </c>
      <c r="B12" s="13" t="s">
        <v>40</v>
      </c>
      <c r="C12" s="14" t="s">
        <v>41</v>
      </c>
    </row>
    <row r="13" spans="1:3" ht="24" customHeight="1" x14ac:dyDescent="0.25">
      <c r="A13" s="9" t="s">
        <v>42</v>
      </c>
      <c r="B13" s="10" t="s">
        <v>43</v>
      </c>
      <c r="C13" s="11" t="s">
        <v>44</v>
      </c>
    </row>
    <row r="14" spans="1:3" ht="24" customHeight="1" x14ac:dyDescent="0.25">
      <c r="A14" s="12" t="s">
        <v>45</v>
      </c>
      <c r="B14" s="13" t="s">
        <v>46</v>
      </c>
      <c r="C14" s="14" t="s">
        <v>47</v>
      </c>
    </row>
    <row r="15" spans="1:3" ht="15" customHeight="1" x14ac:dyDescent="0.25">
      <c r="A15" s="15" t="s">
        <v>48</v>
      </c>
      <c r="B15" s="16">
        <v>70</v>
      </c>
      <c r="C15" s="17" t="s">
        <v>49</v>
      </c>
    </row>
    <row r="16" spans="1:3" ht="15" customHeight="1" x14ac:dyDescent="0.25">
      <c r="A16" s="15" t="s">
        <v>50</v>
      </c>
      <c r="B16" s="16">
        <v>65</v>
      </c>
      <c r="C16" s="17" t="s">
        <v>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"/>
  <sheetViews>
    <sheetView zoomScaleNormal="100" workbookViewId="0">
      <selection activeCell="I11" sqref="I11"/>
    </sheetView>
  </sheetViews>
  <sheetFormatPr baseColWidth="10" defaultColWidth="8.7109375" defaultRowHeight="15" x14ac:dyDescent="0.25"/>
  <cols>
    <col min="1" max="1" width="44" customWidth="1"/>
    <col min="2" max="13" width="12" customWidth="1"/>
    <col min="14" max="14" width="16" customWidth="1"/>
  </cols>
  <sheetData>
    <row r="1" spans="1:14" ht="24.75" customHeight="1" x14ac:dyDescent="0.3">
      <c r="A1" s="2" t="s">
        <v>52</v>
      </c>
    </row>
    <row r="3" spans="1:14" ht="25.5" customHeight="1" x14ac:dyDescent="0.25">
      <c r="A3" s="3" t="s">
        <v>53</v>
      </c>
      <c r="B3" s="3" t="s">
        <v>54</v>
      </c>
      <c r="C3" s="3" t="s">
        <v>55</v>
      </c>
      <c r="D3" s="3" t="s">
        <v>56</v>
      </c>
      <c r="E3" s="3" t="s">
        <v>57</v>
      </c>
      <c r="F3" s="3" t="s">
        <v>58</v>
      </c>
      <c r="G3" s="3" t="s">
        <v>59</v>
      </c>
      <c r="H3" s="3" t="s">
        <v>60</v>
      </c>
      <c r="I3" s="3" t="s">
        <v>61</v>
      </c>
      <c r="J3" s="3" t="s">
        <v>62</v>
      </c>
      <c r="K3" s="3" t="s">
        <v>63</v>
      </c>
      <c r="L3" s="3" t="s">
        <v>64</v>
      </c>
      <c r="M3" s="3" t="s">
        <v>65</v>
      </c>
      <c r="N3" s="3" t="s">
        <v>66</v>
      </c>
    </row>
    <row r="4" spans="1:14" ht="19.5" customHeight="1" x14ac:dyDescent="0.25">
      <c r="A4" s="14" t="s">
        <v>67</v>
      </c>
      <c r="B4" s="18">
        <v>60</v>
      </c>
      <c r="C4" s="18">
        <v>65</v>
      </c>
      <c r="D4" s="18">
        <v>75</v>
      </c>
      <c r="E4" s="18">
        <v>90</v>
      </c>
      <c r="F4" s="18">
        <v>110</v>
      </c>
      <c r="G4" s="18">
        <v>120</v>
      </c>
      <c r="H4" s="18">
        <v>115</v>
      </c>
      <c r="I4" s="18">
        <v>80</v>
      </c>
      <c r="J4" s="18">
        <v>95</v>
      </c>
      <c r="K4" s="18">
        <v>105</v>
      </c>
      <c r="L4" s="18">
        <v>110</v>
      </c>
      <c r="M4" s="18">
        <v>100</v>
      </c>
      <c r="N4" s="19">
        <v>1125</v>
      </c>
    </row>
    <row r="5" spans="1:14" ht="21" customHeight="1" x14ac:dyDescent="0.25">
      <c r="A5" s="20" t="s">
        <v>68</v>
      </c>
      <c r="B5" s="21">
        <f>0.2*B4*1.2+0.5*'01_Hypotheses_BFR'!$B$16*1.2+0.3*'01_Hypotheses_BFR'!$B$15*1.2</f>
        <v>78.599999999999994</v>
      </c>
      <c r="C5" s="21">
        <f>0.2*C4*1.2+0.5*B4*1.2+0.3*'01_Hypotheses_BFR'!$B$16*1.2</f>
        <v>75</v>
      </c>
      <c r="D5" s="21">
        <f t="shared" ref="D5:M5" si="0">0.2*D4*1.2+0.5*C4*1.2+0.3*B4*1.2</f>
        <v>78.599999999999994</v>
      </c>
      <c r="E5" s="21">
        <f t="shared" si="0"/>
        <v>90</v>
      </c>
      <c r="F5" s="21">
        <f t="shared" si="0"/>
        <v>107.4</v>
      </c>
      <c r="G5" s="21">
        <f t="shared" si="0"/>
        <v>127.19999999999999</v>
      </c>
      <c r="H5" s="21">
        <f t="shared" si="0"/>
        <v>139.19999999999999</v>
      </c>
      <c r="I5" s="21">
        <f t="shared" si="0"/>
        <v>131.4</v>
      </c>
      <c r="J5" s="21">
        <f t="shared" si="0"/>
        <v>112.19999999999999</v>
      </c>
      <c r="K5" s="21">
        <f t="shared" si="0"/>
        <v>111</v>
      </c>
      <c r="L5" s="21">
        <f t="shared" si="0"/>
        <v>123.6</v>
      </c>
      <c r="M5" s="21">
        <f t="shared" si="0"/>
        <v>127.8</v>
      </c>
      <c r="N5" s="21">
        <f t="shared" ref="N5:N13" si="1">SUM(B5:M5)</f>
        <v>1301.9999999999998</v>
      </c>
    </row>
    <row r="6" spans="1:14" ht="19.5" customHeight="1" x14ac:dyDescent="0.25">
      <c r="A6" s="14" t="s">
        <v>69</v>
      </c>
      <c r="B6" s="19">
        <f>0.5*'01_Hypotheses_BFR'!$B$16*1.2</f>
        <v>39</v>
      </c>
      <c r="C6" s="19">
        <f t="shared" ref="C6:M6" si="2">0.5*B4*1.2</f>
        <v>36</v>
      </c>
      <c r="D6" s="19">
        <f t="shared" si="2"/>
        <v>39</v>
      </c>
      <c r="E6" s="19">
        <f t="shared" si="2"/>
        <v>45</v>
      </c>
      <c r="F6" s="19">
        <f t="shared" si="2"/>
        <v>54</v>
      </c>
      <c r="G6" s="19">
        <f t="shared" si="2"/>
        <v>66</v>
      </c>
      <c r="H6" s="19">
        <f t="shared" si="2"/>
        <v>72</v>
      </c>
      <c r="I6" s="19">
        <f t="shared" si="2"/>
        <v>69</v>
      </c>
      <c r="J6" s="19">
        <f t="shared" si="2"/>
        <v>48</v>
      </c>
      <c r="K6" s="19">
        <f t="shared" si="2"/>
        <v>57</v>
      </c>
      <c r="L6" s="19">
        <f t="shared" si="2"/>
        <v>63</v>
      </c>
      <c r="M6" s="19">
        <f t="shared" si="2"/>
        <v>66</v>
      </c>
      <c r="N6" s="19">
        <f t="shared" si="1"/>
        <v>654</v>
      </c>
    </row>
    <row r="7" spans="1:14" ht="19.5" customHeight="1" x14ac:dyDescent="0.25">
      <c r="A7" s="14" t="s">
        <v>70</v>
      </c>
      <c r="B7" s="18">
        <v>20</v>
      </c>
      <c r="C7" s="18">
        <v>20</v>
      </c>
      <c r="D7" s="18">
        <v>20</v>
      </c>
      <c r="E7" s="18">
        <v>20</v>
      </c>
      <c r="F7" s="18">
        <v>20</v>
      </c>
      <c r="G7" s="18">
        <v>20</v>
      </c>
      <c r="H7" s="18">
        <v>20</v>
      </c>
      <c r="I7" s="18">
        <v>20</v>
      </c>
      <c r="J7" s="18">
        <v>20</v>
      </c>
      <c r="K7" s="18">
        <v>20</v>
      </c>
      <c r="L7" s="18">
        <v>20</v>
      </c>
      <c r="M7" s="18">
        <v>20</v>
      </c>
      <c r="N7" s="19">
        <f t="shared" si="1"/>
        <v>240</v>
      </c>
    </row>
    <row r="8" spans="1:14" ht="19.5" customHeight="1" x14ac:dyDescent="0.25">
      <c r="A8" s="14" t="s">
        <v>71</v>
      </c>
      <c r="B8" s="18">
        <v>10</v>
      </c>
      <c r="C8" s="18">
        <v>10</v>
      </c>
      <c r="D8" s="18">
        <v>10</v>
      </c>
      <c r="E8" s="18">
        <v>10</v>
      </c>
      <c r="F8" s="18">
        <v>10</v>
      </c>
      <c r="G8" s="18">
        <v>10</v>
      </c>
      <c r="H8" s="18">
        <v>10</v>
      </c>
      <c r="I8" s="18">
        <v>10</v>
      </c>
      <c r="J8" s="18">
        <v>10</v>
      </c>
      <c r="K8" s="18">
        <v>10</v>
      </c>
      <c r="L8" s="18">
        <v>10</v>
      </c>
      <c r="M8" s="18">
        <v>10</v>
      </c>
      <c r="N8" s="19">
        <f t="shared" si="1"/>
        <v>120</v>
      </c>
    </row>
    <row r="9" spans="1:14" ht="19.5" customHeight="1" x14ac:dyDescent="0.25">
      <c r="A9" s="14" t="s">
        <v>36</v>
      </c>
      <c r="B9" s="18">
        <v>8</v>
      </c>
      <c r="C9" s="18">
        <v>8</v>
      </c>
      <c r="D9" s="18">
        <v>8</v>
      </c>
      <c r="E9" s="18">
        <v>8</v>
      </c>
      <c r="F9" s="18">
        <v>8</v>
      </c>
      <c r="G9" s="18">
        <v>8</v>
      </c>
      <c r="H9" s="18">
        <v>8</v>
      </c>
      <c r="I9" s="18">
        <v>8</v>
      </c>
      <c r="J9" s="18">
        <v>8</v>
      </c>
      <c r="K9" s="18">
        <v>8</v>
      </c>
      <c r="L9" s="18">
        <v>8</v>
      </c>
      <c r="M9" s="18">
        <v>8</v>
      </c>
      <c r="N9" s="19">
        <f t="shared" si="1"/>
        <v>96</v>
      </c>
    </row>
    <row r="10" spans="1:14" ht="19.5" customHeight="1" x14ac:dyDescent="0.25">
      <c r="A10" s="14" t="s">
        <v>72</v>
      </c>
      <c r="B10" s="19">
        <f>0.1*'01_Hypotheses_BFR'!$B$16-($B$9-$B$9/1.2)</f>
        <v>5.166666666666667</v>
      </c>
      <c r="C10" s="19">
        <f t="shared" ref="C10:M10" si="3">0.1*B4-($B$9-$B$9/1.2)</f>
        <v>4.666666666666667</v>
      </c>
      <c r="D10" s="19">
        <f t="shared" si="3"/>
        <v>5.166666666666667</v>
      </c>
      <c r="E10" s="19">
        <f t="shared" si="3"/>
        <v>6.166666666666667</v>
      </c>
      <c r="F10" s="19">
        <f t="shared" si="3"/>
        <v>7.666666666666667</v>
      </c>
      <c r="G10" s="19">
        <f t="shared" si="3"/>
        <v>9.6666666666666679</v>
      </c>
      <c r="H10" s="19">
        <f t="shared" si="3"/>
        <v>10.666666666666668</v>
      </c>
      <c r="I10" s="19">
        <f t="shared" si="3"/>
        <v>10.166666666666668</v>
      </c>
      <c r="J10" s="19">
        <f t="shared" si="3"/>
        <v>6.666666666666667</v>
      </c>
      <c r="K10" s="19">
        <f t="shared" si="3"/>
        <v>8.1666666666666679</v>
      </c>
      <c r="L10" s="19">
        <f t="shared" si="3"/>
        <v>9.1666666666666679</v>
      </c>
      <c r="M10" s="19">
        <f t="shared" si="3"/>
        <v>9.6666666666666679</v>
      </c>
      <c r="N10" s="19">
        <f t="shared" si="1"/>
        <v>93.000000000000028</v>
      </c>
    </row>
    <row r="11" spans="1:14" ht="19.5" customHeight="1" x14ac:dyDescent="0.25">
      <c r="A11" s="14" t="s">
        <v>73</v>
      </c>
      <c r="B11" s="18">
        <v>0</v>
      </c>
      <c r="C11" s="18">
        <v>0</v>
      </c>
      <c r="D11" s="18">
        <v>5</v>
      </c>
      <c r="E11" s="18">
        <v>0</v>
      </c>
      <c r="F11" s="18">
        <v>0</v>
      </c>
      <c r="G11" s="18">
        <v>5</v>
      </c>
      <c r="H11" s="18">
        <v>0</v>
      </c>
      <c r="I11" s="18">
        <v>0</v>
      </c>
      <c r="J11" s="18">
        <v>5</v>
      </c>
      <c r="K11" s="18">
        <v>0</v>
      </c>
      <c r="L11" s="18">
        <v>0</v>
      </c>
      <c r="M11" s="18">
        <v>5</v>
      </c>
      <c r="N11" s="19">
        <f t="shared" si="1"/>
        <v>20</v>
      </c>
    </row>
    <row r="12" spans="1:14" ht="19.5" customHeight="1" x14ac:dyDescent="0.25">
      <c r="A12" s="14" t="s">
        <v>74</v>
      </c>
      <c r="B12" s="18">
        <v>0</v>
      </c>
      <c r="C12" s="18">
        <v>0</v>
      </c>
      <c r="D12" s="18">
        <v>0</v>
      </c>
      <c r="E12" s="18">
        <v>50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9">
        <f t="shared" si="1"/>
        <v>50</v>
      </c>
    </row>
    <row r="13" spans="1:14" ht="21" customHeight="1" x14ac:dyDescent="0.25">
      <c r="A13" s="20" t="s">
        <v>75</v>
      </c>
      <c r="B13" s="21">
        <f t="shared" ref="B13:M13" si="4">SUM(B6:B12)</f>
        <v>82.166666666666671</v>
      </c>
      <c r="C13" s="21">
        <f t="shared" si="4"/>
        <v>78.666666666666671</v>
      </c>
      <c r="D13" s="21">
        <f t="shared" si="4"/>
        <v>87.166666666666671</v>
      </c>
      <c r="E13" s="21">
        <f t="shared" si="4"/>
        <v>139.16666666666669</v>
      </c>
      <c r="F13" s="21">
        <f t="shared" si="4"/>
        <v>99.666666666666671</v>
      </c>
      <c r="G13" s="21">
        <f t="shared" si="4"/>
        <v>118.66666666666667</v>
      </c>
      <c r="H13" s="21">
        <f t="shared" si="4"/>
        <v>120.66666666666667</v>
      </c>
      <c r="I13" s="21">
        <f t="shared" si="4"/>
        <v>117.16666666666667</v>
      </c>
      <c r="J13" s="21">
        <f t="shared" si="4"/>
        <v>97.666666666666671</v>
      </c>
      <c r="K13" s="21">
        <f t="shared" si="4"/>
        <v>103.16666666666667</v>
      </c>
      <c r="L13" s="21">
        <f t="shared" si="4"/>
        <v>110.16666666666667</v>
      </c>
      <c r="M13" s="21">
        <f t="shared" si="4"/>
        <v>118.66666666666667</v>
      </c>
      <c r="N13" s="21">
        <f t="shared" si="1"/>
        <v>1273</v>
      </c>
    </row>
    <row r="14" spans="1:14" ht="19.5" customHeight="1" x14ac:dyDescent="0.25">
      <c r="A14" s="12" t="s">
        <v>76</v>
      </c>
      <c r="B14" s="18">
        <v>25</v>
      </c>
      <c r="C14" s="22">
        <f t="shared" ref="C14:M14" si="5">B16</f>
        <v>21.433333333333323</v>
      </c>
      <c r="D14" s="22">
        <f t="shared" si="5"/>
        <v>17.766666666666652</v>
      </c>
      <c r="E14" s="22">
        <f t="shared" si="5"/>
        <v>9.1999999999999744</v>
      </c>
      <c r="F14" s="23">
        <f t="shared" si="5"/>
        <v>-39.966666666666711</v>
      </c>
      <c r="G14" s="23">
        <f t="shared" si="5"/>
        <v>-32.233333333333377</v>
      </c>
      <c r="H14" s="23">
        <f t="shared" si="5"/>
        <v>-23.70000000000006</v>
      </c>
      <c r="I14" s="23">
        <f t="shared" si="5"/>
        <v>-5.1666666666667425</v>
      </c>
      <c r="J14" s="22">
        <f t="shared" si="5"/>
        <v>9.0666666666665918</v>
      </c>
      <c r="K14" s="22">
        <f t="shared" si="5"/>
        <v>23.599999999999909</v>
      </c>
      <c r="L14" s="22">
        <f t="shared" si="5"/>
        <v>31.433333333333238</v>
      </c>
      <c r="M14" s="22">
        <f t="shared" si="5"/>
        <v>44.866666666666561</v>
      </c>
      <c r="N14" s="4" t="s">
        <v>77</v>
      </c>
    </row>
    <row r="15" spans="1:14" ht="19.5" customHeight="1" x14ac:dyDescent="0.25">
      <c r="A15" s="12" t="s">
        <v>78</v>
      </c>
      <c r="B15" s="22">
        <f t="shared" ref="B15:M15" si="6">B5-B13</f>
        <v>-3.5666666666666771</v>
      </c>
      <c r="C15" s="22">
        <f t="shared" si="6"/>
        <v>-3.6666666666666714</v>
      </c>
      <c r="D15" s="22">
        <f t="shared" si="6"/>
        <v>-8.5666666666666771</v>
      </c>
      <c r="E15" s="22">
        <f t="shared" si="6"/>
        <v>-49.166666666666686</v>
      </c>
      <c r="F15" s="22">
        <f t="shared" si="6"/>
        <v>7.7333333333333343</v>
      </c>
      <c r="G15" s="22">
        <f t="shared" si="6"/>
        <v>8.5333333333333172</v>
      </c>
      <c r="H15" s="22">
        <f t="shared" si="6"/>
        <v>18.533333333333317</v>
      </c>
      <c r="I15" s="22">
        <f t="shared" si="6"/>
        <v>14.233333333333334</v>
      </c>
      <c r="J15" s="22">
        <f t="shared" si="6"/>
        <v>14.533333333333317</v>
      </c>
      <c r="K15" s="22">
        <f t="shared" si="6"/>
        <v>7.8333333333333286</v>
      </c>
      <c r="L15" s="22">
        <f t="shared" si="6"/>
        <v>13.433333333333323</v>
      </c>
      <c r="M15" s="22">
        <f t="shared" si="6"/>
        <v>9.1333333333333258</v>
      </c>
      <c r="N15" s="22">
        <f>SUM(B15:M15)</f>
        <v>28.999999999999886</v>
      </c>
    </row>
    <row r="16" spans="1:14" ht="21" customHeight="1" x14ac:dyDescent="0.25">
      <c r="A16" s="20" t="s">
        <v>79</v>
      </c>
      <c r="B16" s="21">
        <f t="shared" ref="B16:M16" si="7">B14+B15</f>
        <v>21.433333333333323</v>
      </c>
      <c r="C16" s="21">
        <f t="shared" si="7"/>
        <v>17.766666666666652</v>
      </c>
      <c r="D16" s="21">
        <f t="shared" si="7"/>
        <v>9.1999999999999744</v>
      </c>
      <c r="E16" s="24">
        <f t="shared" si="7"/>
        <v>-39.966666666666711</v>
      </c>
      <c r="F16" s="24">
        <f t="shared" si="7"/>
        <v>-32.233333333333377</v>
      </c>
      <c r="G16" s="24">
        <f t="shared" si="7"/>
        <v>-23.70000000000006</v>
      </c>
      <c r="H16" s="24">
        <f t="shared" si="7"/>
        <v>-5.1666666666667425</v>
      </c>
      <c r="I16" s="21">
        <f t="shared" si="7"/>
        <v>9.0666666666665918</v>
      </c>
      <c r="J16" s="21">
        <f t="shared" si="7"/>
        <v>23.599999999999909</v>
      </c>
      <c r="K16" s="21">
        <f t="shared" si="7"/>
        <v>31.433333333333238</v>
      </c>
      <c r="L16" s="21">
        <f t="shared" si="7"/>
        <v>44.866666666666561</v>
      </c>
      <c r="M16" s="21">
        <f t="shared" si="7"/>
        <v>53.999999999999886</v>
      </c>
      <c r="N16" s="25" t="s">
        <v>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7"/>
  <sheetViews>
    <sheetView zoomScaleNormal="100" workbookViewId="0">
      <selection activeCell="B10" sqref="B10"/>
    </sheetView>
  </sheetViews>
  <sheetFormatPr baseColWidth="10" defaultColWidth="8.7109375" defaultRowHeight="15" x14ac:dyDescent="0.25"/>
  <cols>
    <col min="1" max="1" width="46" customWidth="1"/>
    <col min="2" max="13" width="10" customWidth="1"/>
    <col min="14" max="14" width="13" customWidth="1"/>
  </cols>
  <sheetData>
    <row r="1" spans="1:14" ht="15.75" customHeight="1" x14ac:dyDescent="0.3">
      <c r="A1" s="2" t="s">
        <v>80</v>
      </c>
    </row>
    <row r="3" spans="1:14" ht="15" customHeight="1" x14ac:dyDescent="0.25">
      <c r="A3" s="8" t="s">
        <v>81</v>
      </c>
    </row>
    <row r="4" spans="1:14" ht="15" customHeight="1" x14ac:dyDescent="0.25">
      <c r="A4" s="26" t="s">
        <v>82</v>
      </c>
      <c r="B4" s="27" t="s">
        <v>54</v>
      </c>
      <c r="C4" s="27" t="s">
        <v>55</v>
      </c>
      <c r="D4" s="27" t="s">
        <v>56</v>
      </c>
      <c r="E4" s="27" t="s">
        <v>57</v>
      </c>
      <c r="F4" s="27" t="s">
        <v>58</v>
      </c>
      <c r="G4" s="27" t="s">
        <v>59</v>
      </c>
      <c r="H4" s="27" t="s">
        <v>60</v>
      </c>
      <c r="I4" s="27" t="s">
        <v>61</v>
      </c>
      <c r="J4" s="27" t="s">
        <v>62</v>
      </c>
      <c r="K4" s="27" t="s">
        <v>63</v>
      </c>
      <c r="L4" s="27" t="s">
        <v>64</v>
      </c>
      <c r="M4" s="27" t="s">
        <v>65</v>
      </c>
      <c r="N4" s="27" t="s">
        <v>83</v>
      </c>
    </row>
    <row r="5" spans="1:14" ht="15" customHeight="1" x14ac:dyDescent="0.25">
      <c r="A5" t="s">
        <v>84</v>
      </c>
      <c r="B5" s="28">
        <f>'02_Budget_Tresorerie'!B4*1.2</f>
        <v>72</v>
      </c>
      <c r="C5" s="28">
        <f>'02_Budget_Tresorerie'!C4*1.2</f>
        <v>78</v>
      </c>
      <c r="D5" s="28">
        <f>'02_Budget_Tresorerie'!D4*1.2</f>
        <v>90</v>
      </c>
      <c r="E5" s="28">
        <f>'02_Budget_Tresorerie'!E4*1.2</f>
        <v>108</v>
      </c>
      <c r="F5" s="28">
        <f>'02_Budget_Tresorerie'!F4*1.2</f>
        <v>132</v>
      </c>
      <c r="G5" s="28">
        <f>'02_Budget_Tresorerie'!G4*1.2</f>
        <v>144</v>
      </c>
      <c r="H5" s="28">
        <f>'02_Budget_Tresorerie'!H4*1.2</f>
        <v>138</v>
      </c>
      <c r="I5" s="28">
        <f>'02_Budget_Tresorerie'!I4*1.2</f>
        <v>96</v>
      </c>
      <c r="J5" s="28">
        <f>'02_Budget_Tresorerie'!J4*1.2</f>
        <v>114</v>
      </c>
      <c r="K5" s="28">
        <f>'02_Budget_Tresorerie'!K4*1.2</f>
        <v>126</v>
      </c>
      <c r="L5" s="28">
        <f>'02_Budget_Tresorerie'!L4*1.2</f>
        <v>132</v>
      </c>
      <c r="M5" s="28">
        <f>'02_Budget_Tresorerie'!M4*1.2</f>
        <v>120</v>
      </c>
      <c r="N5" s="28">
        <f>SUM(B5:M5)</f>
        <v>1350</v>
      </c>
    </row>
    <row r="6" spans="1:14" ht="15" customHeight="1" x14ac:dyDescent="0.25">
      <c r="A6" t="s">
        <v>85</v>
      </c>
      <c r="B6" s="28">
        <f>0.8*B5+0.3*('01_Hypotheses_BFR'!$B$16*1.2)</f>
        <v>81</v>
      </c>
      <c r="C6" s="28">
        <f t="shared" ref="C6:M6" si="0">0.8*C5+0.3*B5</f>
        <v>84</v>
      </c>
      <c r="D6" s="28">
        <f t="shared" si="0"/>
        <v>95.4</v>
      </c>
      <c r="E6" s="28">
        <f t="shared" si="0"/>
        <v>113.4</v>
      </c>
      <c r="F6" s="28">
        <f t="shared" si="0"/>
        <v>138</v>
      </c>
      <c r="G6" s="28">
        <f t="shared" si="0"/>
        <v>154.80000000000001</v>
      </c>
      <c r="H6" s="28">
        <f t="shared" si="0"/>
        <v>153.6</v>
      </c>
      <c r="I6" s="28">
        <f t="shared" si="0"/>
        <v>118.20000000000002</v>
      </c>
      <c r="J6" s="28">
        <f t="shared" si="0"/>
        <v>120</v>
      </c>
      <c r="K6" s="28">
        <f t="shared" si="0"/>
        <v>135</v>
      </c>
      <c r="L6" s="28">
        <f t="shared" si="0"/>
        <v>143.4</v>
      </c>
      <c r="M6" s="28">
        <f t="shared" si="0"/>
        <v>135.6</v>
      </c>
      <c r="N6" s="28">
        <f>M6</f>
        <v>135.6</v>
      </c>
    </row>
    <row r="7" spans="1:14" ht="15" customHeight="1" x14ac:dyDescent="0.25">
      <c r="A7" t="s">
        <v>86</v>
      </c>
      <c r="B7" s="28">
        <f>0.5*'02_Budget_Tresorerie'!B4*1.2</f>
        <v>36</v>
      </c>
      <c r="C7" s="28">
        <f>0.5*'02_Budget_Tresorerie'!C4*1.2</f>
        <v>39</v>
      </c>
      <c r="D7" s="28">
        <f>0.5*'02_Budget_Tresorerie'!D4*1.2</f>
        <v>45</v>
      </c>
      <c r="E7" s="28">
        <f>0.5*'02_Budget_Tresorerie'!E4*1.2</f>
        <v>54</v>
      </c>
      <c r="F7" s="28">
        <f>0.5*'02_Budget_Tresorerie'!F4*1.2</f>
        <v>66</v>
      </c>
      <c r="G7" s="28">
        <f>0.5*'02_Budget_Tresorerie'!G4*1.2</f>
        <v>72</v>
      </c>
      <c r="H7" s="28">
        <f>0.5*'02_Budget_Tresorerie'!H4*1.2</f>
        <v>69</v>
      </c>
      <c r="I7" s="28">
        <f>0.5*'02_Budget_Tresorerie'!I4*1.2</f>
        <v>48</v>
      </c>
      <c r="J7" s="28">
        <f>0.5*'02_Budget_Tresorerie'!J4*1.2</f>
        <v>57</v>
      </c>
      <c r="K7" s="28">
        <f>0.5*'02_Budget_Tresorerie'!K4*1.2</f>
        <v>63</v>
      </c>
      <c r="L7" s="28">
        <f>0.5*'02_Budget_Tresorerie'!L4*1.2</f>
        <v>66</v>
      </c>
      <c r="M7" s="28">
        <f>0.5*'02_Budget_Tresorerie'!M4*1.2</f>
        <v>60</v>
      </c>
      <c r="N7" s="28">
        <f>M7</f>
        <v>60</v>
      </c>
    </row>
    <row r="8" spans="1:14" ht="15" customHeight="1" x14ac:dyDescent="0.25">
      <c r="A8" s="29" t="s">
        <v>87</v>
      </c>
      <c r="B8" s="30">
        <f t="shared" ref="B8:M8" si="1">B6-B7</f>
        <v>45</v>
      </c>
      <c r="C8" s="30">
        <f t="shared" si="1"/>
        <v>45</v>
      </c>
      <c r="D8" s="30">
        <f t="shared" si="1"/>
        <v>50.400000000000006</v>
      </c>
      <c r="E8" s="30">
        <f t="shared" si="1"/>
        <v>59.400000000000006</v>
      </c>
      <c r="F8" s="30">
        <f t="shared" si="1"/>
        <v>72</v>
      </c>
      <c r="G8" s="30">
        <f t="shared" si="1"/>
        <v>82.800000000000011</v>
      </c>
      <c r="H8" s="30">
        <f t="shared" si="1"/>
        <v>84.6</v>
      </c>
      <c r="I8" s="30">
        <f t="shared" si="1"/>
        <v>70.200000000000017</v>
      </c>
      <c r="J8" s="30">
        <f t="shared" si="1"/>
        <v>63</v>
      </c>
      <c r="K8" s="30">
        <f t="shared" si="1"/>
        <v>72</v>
      </c>
      <c r="L8" s="30">
        <f t="shared" si="1"/>
        <v>77.400000000000006</v>
      </c>
      <c r="M8" s="30">
        <f t="shared" si="1"/>
        <v>75.599999999999994</v>
      </c>
      <c r="N8" s="30">
        <f>M8</f>
        <v>75.599999999999994</v>
      </c>
    </row>
    <row r="9" spans="1:14" ht="15" customHeight="1" x14ac:dyDescent="0.25">
      <c r="A9" t="s">
        <v>88</v>
      </c>
      <c r="B9" s="28">
        <f>B8-$B$10</f>
        <v>-3.6000000000000085</v>
      </c>
      <c r="C9" s="28">
        <f t="shared" ref="C9:M9" si="2">C8-B8</f>
        <v>0</v>
      </c>
      <c r="D9" s="28">
        <f t="shared" si="2"/>
        <v>5.4000000000000057</v>
      </c>
      <c r="E9" s="28">
        <f t="shared" si="2"/>
        <v>9</v>
      </c>
      <c r="F9" s="28">
        <f t="shared" si="2"/>
        <v>12.599999999999994</v>
      </c>
      <c r="G9" s="28">
        <f t="shared" si="2"/>
        <v>10.800000000000011</v>
      </c>
      <c r="H9" s="28">
        <f t="shared" si="2"/>
        <v>1.7999999999999829</v>
      </c>
      <c r="I9" s="28">
        <f t="shared" si="2"/>
        <v>-14.399999999999977</v>
      </c>
      <c r="J9" s="28">
        <f t="shared" si="2"/>
        <v>-7.2000000000000171</v>
      </c>
      <c r="K9" s="28">
        <f t="shared" si="2"/>
        <v>9</v>
      </c>
      <c r="L9" s="28">
        <f t="shared" si="2"/>
        <v>5.4000000000000057</v>
      </c>
      <c r="M9" s="28">
        <f t="shared" si="2"/>
        <v>-1.8000000000000114</v>
      </c>
      <c r="N9" s="28">
        <f>SUM(B9:M9)</f>
        <v>26.999999999999986</v>
      </c>
    </row>
    <row r="10" spans="1:14" ht="15" customHeight="1" x14ac:dyDescent="0.25">
      <c r="A10" t="s">
        <v>89</v>
      </c>
      <c r="B10" s="28">
        <f>(0.8*('01_Hypotheses_BFR'!$B$16*1.2)+0.3*('01_Hypotheses_BFR'!$B$15*1.2))-(0.5*'01_Hypotheses_BFR'!$B$16*1.2)</f>
        <v>48.600000000000009</v>
      </c>
    </row>
    <row r="12" spans="1:14" ht="15" customHeight="1" x14ac:dyDescent="0.25">
      <c r="A12" s="8" t="s">
        <v>90</v>
      </c>
    </row>
    <row r="13" spans="1:14" ht="15" customHeight="1" x14ac:dyDescent="0.25">
      <c r="A13" s="26" t="s">
        <v>91</v>
      </c>
      <c r="B13" s="27" t="s">
        <v>54</v>
      </c>
      <c r="C13" s="27" t="s">
        <v>55</v>
      </c>
      <c r="D13" s="27" t="s">
        <v>56</v>
      </c>
      <c r="E13" s="27" t="s">
        <v>57</v>
      </c>
      <c r="F13" s="27" t="s">
        <v>58</v>
      </c>
      <c r="G13" s="27" t="s">
        <v>59</v>
      </c>
      <c r="H13" s="27" t="s">
        <v>60</v>
      </c>
      <c r="I13" s="27" t="s">
        <v>61</v>
      </c>
      <c r="J13" s="27" t="s">
        <v>62</v>
      </c>
      <c r="K13" s="27" t="s">
        <v>63</v>
      </c>
      <c r="L13" s="27" t="s">
        <v>64</v>
      </c>
      <c r="M13" s="27" t="s">
        <v>65</v>
      </c>
    </row>
    <row r="14" spans="1:14" ht="15" customHeight="1" x14ac:dyDescent="0.25">
      <c r="A14" t="s">
        <v>92</v>
      </c>
      <c r="B14" s="31">
        <f t="shared" ref="B14:M14" si="3">B6/B5*30</f>
        <v>33.75</v>
      </c>
      <c r="C14" s="31">
        <f t="shared" si="3"/>
        <v>32.307692307692307</v>
      </c>
      <c r="D14" s="31">
        <f t="shared" si="3"/>
        <v>31.8</v>
      </c>
      <c r="E14" s="31">
        <f t="shared" si="3"/>
        <v>31.5</v>
      </c>
      <c r="F14" s="31">
        <f t="shared" si="3"/>
        <v>31.363636363636363</v>
      </c>
      <c r="G14" s="31">
        <f t="shared" si="3"/>
        <v>32.250000000000007</v>
      </c>
      <c r="H14" s="31">
        <f t="shared" si="3"/>
        <v>33.391304347826086</v>
      </c>
      <c r="I14" s="31">
        <f t="shared" si="3"/>
        <v>36.937500000000007</v>
      </c>
      <c r="J14" s="31">
        <f t="shared" si="3"/>
        <v>31.578947368421051</v>
      </c>
      <c r="K14" s="31">
        <f t="shared" si="3"/>
        <v>32.142857142857139</v>
      </c>
      <c r="L14" s="31">
        <f t="shared" si="3"/>
        <v>32.590909090909093</v>
      </c>
      <c r="M14" s="31">
        <f t="shared" si="3"/>
        <v>33.9</v>
      </c>
      <c r="N14" s="31">
        <f>AVERAGE(B14:M14)</f>
        <v>32.792737218445176</v>
      </c>
    </row>
    <row r="15" spans="1:14" ht="15" customHeight="1" x14ac:dyDescent="0.25">
      <c r="A15" t="s">
        <v>93</v>
      </c>
      <c r="B15" s="31">
        <f>B7/(0.5*'02_Budget_Tresorerie'!B4*1.2)*30</f>
        <v>30</v>
      </c>
      <c r="C15" s="31">
        <f>C7/(0.5*'02_Budget_Tresorerie'!C4*1.2)*30</f>
        <v>30</v>
      </c>
      <c r="D15" s="31">
        <f>D7/(0.5*'02_Budget_Tresorerie'!D4*1.2)*30</f>
        <v>30</v>
      </c>
      <c r="E15" s="31">
        <f>E7/(0.5*'02_Budget_Tresorerie'!E4*1.2)*30</f>
        <v>30</v>
      </c>
      <c r="F15" s="31">
        <f>F7/(0.5*'02_Budget_Tresorerie'!F4*1.2)*30</f>
        <v>30</v>
      </c>
      <c r="G15" s="31">
        <f>G7/(0.5*'02_Budget_Tresorerie'!G4*1.2)*30</f>
        <v>30</v>
      </c>
      <c r="H15" s="31">
        <f>H7/(0.5*'02_Budget_Tresorerie'!H4*1.2)*30</f>
        <v>30</v>
      </c>
      <c r="I15" s="31">
        <f>I7/(0.5*'02_Budget_Tresorerie'!I4*1.2)*30</f>
        <v>30</v>
      </c>
      <c r="J15" s="31">
        <f>J7/(0.5*'02_Budget_Tresorerie'!J4*1.2)*30</f>
        <v>30</v>
      </c>
      <c r="K15" s="31">
        <f>K7/(0.5*'02_Budget_Tresorerie'!K4*1.2)*30</f>
        <v>30</v>
      </c>
      <c r="L15" s="31">
        <f>L7/(0.5*'02_Budget_Tresorerie'!L4*1.2)*30</f>
        <v>30</v>
      </c>
      <c r="M15" s="31">
        <f>M7/(0.5*'02_Budget_Tresorerie'!M4*1.2)*30</f>
        <v>30</v>
      </c>
      <c r="N15" s="31">
        <f>AVERAGE(B15:M15)</f>
        <v>30</v>
      </c>
    </row>
    <row r="17" spans="1:14" ht="21.75" customHeight="1" x14ac:dyDescent="0.25">
      <c r="A17" s="1" t="s">
        <v>94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</sheetData>
  <mergeCells count="1">
    <mergeCell ref="A17:N1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8"/>
  <sheetViews>
    <sheetView zoomScaleNormal="100" workbookViewId="0">
      <selection activeCell="K6" sqref="K6"/>
    </sheetView>
  </sheetViews>
  <sheetFormatPr baseColWidth="10" defaultColWidth="8.7109375" defaultRowHeight="15" x14ac:dyDescent="0.25"/>
  <cols>
    <col min="1" max="1" width="46" customWidth="1"/>
    <col min="2" max="13" width="10" customWidth="1"/>
  </cols>
  <sheetData>
    <row r="1" spans="1:13" ht="15.75" customHeight="1" x14ac:dyDescent="0.3">
      <c r="A1" s="2" t="s">
        <v>95</v>
      </c>
    </row>
    <row r="3" spans="1:13" ht="15" customHeight="1" x14ac:dyDescent="0.25">
      <c r="A3" s="8" t="s">
        <v>96</v>
      </c>
    </row>
    <row r="4" spans="1:13" ht="15" customHeight="1" x14ac:dyDescent="0.25">
      <c r="A4" t="s">
        <v>97</v>
      </c>
      <c r="B4" s="16">
        <v>50</v>
      </c>
    </row>
    <row r="5" spans="1:13" ht="15" customHeight="1" x14ac:dyDescent="0.25">
      <c r="A5" t="s">
        <v>98</v>
      </c>
      <c r="B5" s="32">
        <v>0.04</v>
      </c>
    </row>
    <row r="6" spans="1:13" ht="15" customHeight="1" x14ac:dyDescent="0.25">
      <c r="A6" t="s">
        <v>99</v>
      </c>
      <c r="B6" s="33">
        <v>48</v>
      </c>
    </row>
    <row r="7" spans="1:13" ht="15" customHeight="1" x14ac:dyDescent="0.25">
      <c r="A7" t="s">
        <v>100</v>
      </c>
      <c r="B7" s="34">
        <f>-PMT(B5/12,B6,B4)</f>
        <v>1.128952732084499</v>
      </c>
    </row>
    <row r="8" spans="1:13" ht="15" customHeight="1" x14ac:dyDescent="0.25">
      <c r="A8" t="s">
        <v>101</v>
      </c>
      <c r="B8" t="s">
        <v>102</v>
      </c>
    </row>
    <row r="10" spans="1:13" ht="15" customHeight="1" x14ac:dyDescent="0.25">
      <c r="A10" s="8" t="s">
        <v>103</v>
      </c>
    </row>
    <row r="11" spans="1:13" ht="15" customHeight="1" x14ac:dyDescent="0.25">
      <c r="A11" s="26" t="s">
        <v>104</v>
      </c>
      <c r="B11" s="27" t="s">
        <v>54</v>
      </c>
      <c r="C11" s="27" t="s">
        <v>55</v>
      </c>
      <c r="D11" s="27" t="s">
        <v>56</v>
      </c>
      <c r="E11" s="27" t="s">
        <v>57</v>
      </c>
      <c r="F11" s="27" t="s">
        <v>58</v>
      </c>
      <c r="G11" s="27" t="s">
        <v>59</v>
      </c>
      <c r="H11" s="27" t="s">
        <v>60</v>
      </c>
      <c r="I11" s="27" t="s">
        <v>61</v>
      </c>
      <c r="J11" s="27" t="s">
        <v>62</v>
      </c>
      <c r="K11" s="27" t="s">
        <v>63</v>
      </c>
      <c r="L11" s="27" t="s">
        <v>64</v>
      </c>
      <c r="M11" s="27" t="s">
        <v>65</v>
      </c>
    </row>
    <row r="12" spans="1:13" ht="15" customHeight="1" x14ac:dyDescent="0.25">
      <c r="A12" t="s">
        <v>105</v>
      </c>
      <c r="B12" s="28">
        <f>'02_Budget_Tresorerie'!B16</f>
        <v>21.433333333333323</v>
      </c>
      <c r="C12" s="28">
        <f>'02_Budget_Tresorerie'!C16</f>
        <v>17.766666666666652</v>
      </c>
      <c r="D12" s="28">
        <f>'02_Budget_Tresorerie'!D16</f>
        <v>9.1999999999999744</v>
      </c>
      <c r="E12" s="28">
        <f>'02_Budget_Tresorerie'!E16</f>
        <v>-39.966666666666711</v>
      </c>
      <c r="F12" s="28">
        <f>'02_Budget_Tresorerie'!F16</f>
        <v>-32.233333333333377</v>
      </c>
      <c r="G12" s="28">
        <f>'02_Budget_Tresorerie'!G16</f>
        <v>-23.70000000000006</v>
      </c>
      <c r="H12" s="28">
        <f>'02_Budget_Tresorerie'!H16</f>
        <v>-5.1666666666667425</v>
      </c>
      <c r="I12" s="28">
        <f>'02_Budget_Tresorerie'!I16</f>
        <v>9.0666666666665918</v>
      </c>
      <c r="J12" s="28">
        <f>'02_Budget_Tresorerie'!J16</f>
        <v>23.599999999999909</v>
      </c>
      <c r="K12" s="28">
        <f>'02_Budget_Tresorerie'!K16</f>
        <v>31.433333333333238</v>
      </c>
      <c r="L12" s="28">
        <f>'02_Budget_Tresorerie'!L16</f>
        <v>44.866666666666561</v>
      </c>
      <c r="M12" s="28">
        <f>'02_Budget_Tresorerie'!M16</f>
        <v>53.999999999999886</v>
      </c>
    </row>
    <row r="13" spans="1:13" ht="15" customHeight="1" x14ac:dyDescent="0.25">
      <c r="A13" t="s">
        <v>106</v>
      </c>
      <c r="B13" s="16">
        <v>0</v>
      </c>
      <c r="C13" s="16">
        <v>0</v>
      </c>
      <c r="D13" s="16">
        <v>0</v>
      </c>
      <c r="E13" s="16">
        <f>$B$4</f>
        <v>50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</row>
    <row r="14" spans="1:13" ht="15" customHeight="1" x14ac:dyDescent="0.25">
      <c r="A14" t="s">
        <v>107</v>
      </c>
      <c r="B14" s="34">
        <v>0</v>
      </c>
      <c r="C14" s="34">
        <v>0</v>
      </c>
      <c r="D14" s="34">
        <v>0</v>
      </c>
      <c r="E14" s="34">
        <v>0</v>
      </c>
      <c r="F14" s="34">
        <f t="shared" ref="F14:M14" si="0">-$B$7</f>
        <v>-1.128952732084499</v>
      </c>
      <c r="G14" s="34">
        <f t="shared" si="0"/>
        <v>-1.128952732084499</v>
      </c>
      <c r="H14" s="34">
        <f t="shared" si="0"/>
        <v>-1.128952732084499</v>
      </c>
      <c r="I14" s="34">
        <f t="shared" si="0"/>
        <v>-1.128952732084499</v>
      </c>
      <c r="J14" s="34">
        <f t="shared" si="0"/>
        <v>-1.128952732084499</v>
      </c>
      <c r="K14" s="34">
        <f t="shared" si="0"/>
        <v>-1.128952732084499</v>
      </c>
      <c r="L14" s="34">
        <f t="shared" si="0"/>
        <v>-1.128952732084499</v>
      </c>
      <c r="M14" s="34">
        <f t="shared" si="0"/>
        <v>-1.128952732084499</v>
      </c>
    </row>
    <row r="15" spans="1:13" ht="15" customHeight="1" x14ac:dyDescent="0.25">
      <c r="A15" t="s">
        <v>108</v>
      </c>
      <c r="B15" s="28">
        <f>B13+B14</f>
        <v>0</v>
      </c>
      <c r="C15" s="28">
        <f t="shared" ref="C15:M15" si="1">B15+C13+C14</f>
        <v>0</v>
      </c>
      <c r="D15" s="28">
        <f t="shared" si="1"/>
        <v>0</v>
      </c>
      <c r="E15" s="28">
        <f t="shared" si="1"/>
        <v>50</v>
      </c>
      <c r="F15" s="28">
        <f t="shared" si="1"/>
        <v>48.8710472679155</v>
      </c>
      <c r="G15" s="28">
        <f t="shared" si="1"/>
        <v>47.742094535831001</v>
      </c>
      <c r="H15" s="28">
        <f t="shared" si="1"/>
        <v>46.613141803746501</v>
      </c>
      <c r="I15" s="28">
        <f t="shared" si="1"/>
        <v>45.484189071662001</v>
      </c>
      <c r="J15" s="28">
        <f t="shared" si="1"/>
        <v>44.355236339577502</v>
      </c>
      <c r="K15" s="28">
        <f t="shared" si="1"/>
        <v>43.226283607493002</v>
      </c>
      <c r="L15" s="28">
        <f t="shared" si="1"/>
        <v>42.097330875408502</v>
      </c>
      <c r="M15" s="28">
        <f t="shared" si="1"/>
        <v>40.968378143324003</v>
      </c>
    </row>
    <row r="16" spans="1:13" ht="15" customHeight="1" x14ac:dyDescent="0.25">
      <c r="A16" s="29" t="s">
        <v>109</v>
      </c>
      <c r="B16" s="30">
        <f t="shared" ref="B16:M16" si="2">B12+B15</f>
        <v>21.433333333333323</v>
      </c>
      <c r="C16" s="30">
        <f t="shared" si="2"/>
        <v>17.766666666666652</v>
      </c>
      <c r="D16" s="30">
        <f t="shared" si="2"/>
        <v>9.1999999999999744</v>
      </c>
      <c r="E16" s="30">
        <f t="shared" si="2"/>
        <v>10.033333333333289</v>
      </c>
      <c r="F16" s="30">
        <f t="shared" si="2"/>
        <v>16.637713934582123</v>
      </c>
      <c r="G16" s="30">
        <f t="shared" si="2"/>
        <v>24.042094535830941</v>
      </c>
      <c r="H16" s="30">
        <f t="shared" si="2"/>
        <v>41.446475137079759</v>
      </c>
      <c r="I16" s="30">
        <f t="shared" si="2"/>
        <v>54.550855738328593</v>
      </c>
      <c r="J16" s="30">
        <f t="shared" si="2"/>
        <v>67.955236339577411</v>
      </c>
      <c r="K16" s="30">
        <f t="shared" si="2"/>
        <v>74.65961694082624</v>
      </c>
      <c r="L16" s="30">
        <f t="shared" si="2"/>
        <v>86.963997542075063</v>
      </c>
      <c r="M16" s="30">
        <f t="shared" si="2"/>
        <v>94.968378143323889</v>
      </c>
    </row>
    <row r="18" spans="1:13" ht="21.75" customHeight="1" x14ac:dyDescent="0.25">
      <c r="A18" s="1" t="s">
        <v>110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</sheetData>
  <mergeCells count="1">
    <mergeCell ref="A18:M1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00_Sommaire</vt:lpstr>
      <vt:lpstr>01_Hypotheses_BFR</vt:lpstr>
      <vt:lpstr>02_Budget_Tresorerie</vt:lpstr>
      <vt:lpstr>03_Indicateurs_BFR</vt:lpstr>
      <vt:lpstr>04_Scenario_Financement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Bakary SACKO</dc:creator>
  <dc:description/>
  <cp:lastModifiedBy>BAKARY SACKO</cp:lastModifiedBy>
  <cp:revision>3</cp:revision>
  <dcterms:created xsi:type="dcterms:W3CDTF">2026-09-12T08:26:04Z</dcterms:created>
  <dcterms:modified xsi:type="dcterms:W3CDTF">2026-09-23T14:39:37Z</dcterms:modified>
  <dc:language>en-US</dc:language>
</cp:coreProperties>
</file>